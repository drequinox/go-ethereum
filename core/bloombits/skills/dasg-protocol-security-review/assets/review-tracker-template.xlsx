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Review Record" sheetId="2" state="visible" r:id="rId4"/>
    <sheet name="Summary" sheetId="3" state="visible" r:id="rId5"/>
    <sheet name="Tracker" sheetId="4" state="visible" r:id="rId6"/>
    <sheet name="Threat Catalogue" sheetId="5" state="visible" r:id="rId7"/>
  </sheets>
  <definedNames>
    <definedName function="false" hidden="true" localSheetId="3" name="_xlnm._FilterDatabase" vbProcedure="false">Tracker!$A$1:$N$87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<sst xmlns="http://schemas.openxmlformats.org/spreadsheetml/2006/main" count="212" uniqueCount="174">
  <si>
    <t xml:space="preserve">Wallet Security Review Tracker</t>
  </si>
  <si>
    <t xml:space="preserve">Security-Property-Driven Wallet Assurance — one row per flow × property × adversary.</t>
  </si>
  <si>
    <t xml:space="preserve">How to use</t>
  </si>
  <si>
    <t xml:space="preserve">Yellow cells on the Tracker are inputs. The green row (CUST-001) is a worked example; overwrite or delete it.</t>
  </si>
  <si>
    <t xml:space="preserve">Property column: note the class (invariant / safety / liveness). Liveness is a security property only where a deadline turns delay into loss.</t>
  </si>
  <si>
    <t xml:space="preserve">Pre-populated rows map each flow to the property and threat category that must be assessed; edit adversary, assumption and scenario per platform.</t>
  </si>
  <si>
    <t xml:space="preserve">The review is complete when every row has a Status. Summary updates automatically.</t>
  </si>
  <si>
    <t xml:space="preserve">Evidence: link to the design, model, code or test — do not copy content in.</t>
  </si>
  <si>
    <t xml:space="preserve">Assurance level</t>
  </si>
  <si>
    <t xml:space="preserve">L1 — Design: specification and flow analysis</t>
  </si>
  <si>
    <t xml:space="preserve">L2 — Implementation: code, configuration and library review against the specification</t>
  </si>
  <si>
    <t xml:space="preserve">L3 — Adversarial: reproduced attacks, fault injection, negative tests</t>
  </si>
  <si>
    <t xml:space="preserve">Evidence type</t>
  </si>
  <si>
    <t xml:space="preserve">Proved — formal tool output (e.g. Tamarin 'verified' plus a falsified mutation check)</t>
  </si>
  <si>
    <t xml:space="preserve">Argued — reasoning (human or LLM) reviewed and signed off by a named human; never presented as proof</t>
  </si>
  <si>
    <t xml:space="preserve">Tested — reproduced test or fault-injection result</t>
  </si>
  <si>
    <t xml:space="preserve">Asserted — design claim only, not yet examined</t>
  </si>
  <si>
    <t xml:space="preserve">Critical safety properties stay Unverified until Proved or Tested.</t>
  </si>
  <si>
    <t xml:space="preserve">Status</t>
  </si>
  <si>
    <t xml:space="preserve">Supported — evidence supports the property at the stated level and conditions</t>
  </si>
  <si>
    <t xml:space="preserve">Violated — valid counterexample or reproducible failure</t>
  </si>
  <si>
    <t xml:space="preserve">Unverified — evidence insufficient to establish or refute</t>
  </si>
  <si>
    <t xml:space="preserve">Out of scope — excluded with documented justification</t>
  </si>
  <si>
    <t xml:space="preserve">Risk accepted — residual risk accepted by the authorised owner</t>
  </si>
  <si>
    <t xml:space="preserve">Severity: impact × exploitability under the stated adversary (Critical / High / Medium / Low / Info).</t>
  </si>
  <si>
    <t xml:space="preserve">Rule: 'no attack found' is never recorded as Supported without evidence.</t>
  </si>
  <si>
    <t xml:space="preserve">Review record and sign-off</t>
  </si>
  <si>
    <t xml:space="preserve">Scope</t>
  </si>
  <si>
    <t xml:space="preserve">Documents reviewed (name and version / commit)</t>
  </si>
  <si>
    <t xml:space="preserve">Flows in scope</t>
  </si>
  <si>
    <t xml:space="preserve">Flows out of scope (with reason)</t>
  </si>
  <si>
    <t xml:space="preserve">Domain profile</t>
  </si>
  <si>
    <t xml:space="preserve">Evidence level available</t>
  </si>
  <si>
    <t xml:space="preserve">Phase B gate: agreed before analysis</t>
  </si>
  <si>
    <t xml:space="preserve">Security properties confirmed by (architect)</t>
  </si>
  <si>
    <t xml:space="preserve">Cryptographic properties reviewed by (cryptographer)</t>
  </si>
  <si>
    <t xml:space="preserve">Adversary model and scope agreed by (risk owner)</t>
  </si>
  <si>
    <t xml:space="preserve">Gate date</t>
  </si>
  <si>
    <t xml:space="preserve">Issue</t>
  </si>
  <si>
    <t xml:space="preserve">Lead reviewer</t>
  </si>
  <si>
    <t xml:space="preserve">Peer reviewer sign-off</t>
  </si>
  <si>
    <t xml:space="preserve">Residual risk accepted by (named owner)</t>
  </si>
  <si>
    <t xml:space="preserve">Issue date</t>
  </si>
  <si>
    <t xml:space="preserve">Tool versions (e.g. Tamarin 1.12.0)</t>
  </si>
  <si>
    <t xml:space="preserve">Evidence archive location</t>
  </si>
  <si>
    <t xml:space="preserve">Review summary</t>
  </si>
  <si>
    <t xml:space="preserve">L1</t>
  </si>
  <si>
    <t xml:space="preserve">L2</t>
  </si>
  <si>
    <t xml:space="preserve">L3</t>
  </si>
  <si>
    <t xml:space="preserve">No level</t>
  </si>
  <si>
    <t xml:space="preserve">Total</t>
  </si>
  <si>
    <t xml:space="preserve">Supported</t>
  </si>
  <si>
    <t xml:space="preserve">Violated</t>
  </si>
  <si>
    <t xml:space="preserve">Unverified</t>
  </si>
  <si>
    <t xml:space="preserve">Out of scope</t>
  </si>
  <si>
    <t xml:space="preserve">Risk accepted</t>
  </si>
  <si>
    <t xml:space="preserve">Total assessed</t>
  </si>
  <si>
    <t xml:space="preserve">Rows with no status (open)</t>
  </si>
  <si>
    <t xml:space="preserve">Coverage complete</t>
  </si>
  <si>
    <t xml:space="preserve">Open Critical/High violations</t>
  </si>
  <si>
    <t xml:space="preserve">Critical/High Supported, not Proved or Tested</t>
  </si>
  <si>
    <t xml:space="preserve">ID</t>
  </si>
  <si>
    <t xml:space="preserve">Flow</t>
  </si>
  <si>
    <t xml:space="preserve">Property</t>
  </si>
  <si>
    <t xml:space="preserve">Threat category</t>
  </si>
  <si>
    <t xml:space="preserve">Adversary</t>
  </si>
  <si>
    <t xml:space="preserve">Assumption</t>
  </si>
  <si>
    <t xml:space="preserve">Attack scenario</t>
  </si>
  <si>
    <t xml:space="preserve">Evidence</t>
  </si>
  <si>
    <t xml:space="preserve">Level</t>
  </si>
  <si>
    <t xml:space="preserve">Severity</t>
  </si>
  <si>
    <t xml:space="preserve">Owner</t>
  </si>
  <si>
    <t xml:space="preserve">Ticket</t>
  </si>
  <si>
    <t xml:space="preserve">CUST-001</t>
  </si>
  <si>
    <t xml:space="preserve">Withdrawal</t>
  </si>
  <si>
    <t xml:space="preserve">Injective authorisation-to-signature correspondence on the exact digest</t>
  </si>
  <si>
    <t xml:space="preserve">Authorisation binding</t>
  </si>
  <si>
    <t xml:space="preserve">Controls coordinator and network; not approval authority or a signer threshold</t>
  </si>
  <si>
    <t xml:space="preserve">Each signer verifies an authorisation artefact bound to the digest before contributing</t>
  </si>
  <si>
    <t xml:space="preserve">Coordinator substitutes digest after approval, or replays an approval</t>
  </si>
  <si>
    <t xml:space="preserve">Signing request schema (L1); signer validation code; substitution and replay tests</t>
  </si>
  <si>
    <t xml:space="preserve">Asserted</t>
  </si>
  <si>
    <t xml:space="preserve">Critical</t>
  </si>
  <si>
    <t xml:space="preserve">Wallet architect</t>
  </si>
  <si>
    <t xml:space="preserve">—</t>
  </si>
  <si>
    <t xml:space="preserve">CUST-002</t>
  </si>
  <si>
    <t xml:space="preserve">Wallet creation</t>
  </si>
  <si>
    <t xml:space="preserve">Key material is generated with adequate entropy and never exists whole outside the signing boundary</t>
  </si>
  <si>
    <t xml:space="preserve">Key lifecycle</t>
  </si>
  <si>
    <t xml:space="preserve">CUST-003</t>
  </si>
  <si>
    <t xml:space="preserve">DKG output is verified by all participants; a malicious participant cannot bias or learn the key</t>
  </si>
  <si>
    <t xml:space="preserve">Threshold implementation</t>
  </si>
  <si>
    <t xml:space="preserve">CUST-004</t>
  </si>
  <si>
    <t xml:space="preserve">Deposit</t>
  </si>
  <si>
    <t xml:space="preserve">Deposit address shown to the client is the address controlled by the platform</t>
  </si>
  <si>
    <t xml:space="preserve">Address integrity</t>
  </si>
  <si>
    <t xml:space="preserve">CUST-005</t>
  </si>
  <si>
    <t xml:space="preserve">Credited balance matches confirmed on-chain receipt, including reorg handling</t>
  </si>
  <si>
    <t xml:space="preserve">Ledger reconciliation</t>
  </si>
  <si>
    <t xml:space="preserve">CUST-006</t>
  </si>
  <si>
    <t xml:space="preserve">Approver's displayed intent equals the signed payload (calldata, delegatecall, EIP-712)</t>
  </si>
  <si>
    <t xml:space="preserve">Approver display integrity (WYSIWYS)</t>
  </si>
  <si>
    <t xml:space="preserve">CUST-007</t>
  </si>
  <si>
    <t xml:space="preserve">Destination is on the approved whitelist at signing time</t>
  </si>
  <si>
    <t xml:space="preserve">CUST-008</t>
  </si>
  <si>
    <t xml:space="preserve">Approval</t>
  </si>
  <si>
    <t xml:space="preserve">Approval quorum and policy version are enforced by the signing boundary, not only the coordinator</t>
  </si>
  <si>
    <t xml:space="preserve">CUST-009</t>
  </si>
  <si>
    <t xml:space="preserve">Transaction construction</t>
  </si>
  <si>
    <t xml:space="preserve">Chain ID, nonce and fee are bound and cannot be altered or replayed cross-chain</t>
  </si>
  <si>
    <t xml:space="preserve">Chain semantics</t>
  </si>
  <si>
    <t xml:space="preserve">CUST-010</t>
  </si>
  <si>
    <t xml:space="preserve">UTXO change outputs return to platform-controlled addresses</t>
  </si>
  <si>
    <t xml:space="preserve">CUST-011</t>
  </si>
  <si>
    <t xml:space="preserve">Signing</t>
  </si>
  <si>
    <t xml:space="preserve">Nonces / presignatures are never reused and are unbiased</t>
  </si>
  <si>
    <t xml:space="preserve">CUST-012</t>
  </si>
  <si>
    <t xml:space="preserve">All ZK and range proofs assumed by the protocol's security proof are generated and verified</t>
  </si>
  <si>
    <t xml:space="preserve">CUST-013</t>
  </si>
  <si>
    <t xml:space="preserve">Signer runs only in an attested environment; attestation is verified before key use</t>
  </si>
  <si>
    <t xml:space="preserve">Execution environment</t>
  </si>
  <si>
    <t xml:space="preserve">CUST-014</t>
  </si>
  <si>
    <t xml:space="preserve">Broadcast</t>
  </si>
  <si>
    <t xml:space="preserve">Broadcast or RBF cannot change the signed transaction's effect</t>
  </si>
  <si>
    <t xml:space="preserve">CUST-015</t>
  </si>
  <si>
    <t xml:space="preserve">Settlement</t>
  </si>
  <si>
    <t xml:space="preserve">Internal ledger and on-chain state reconcile; stuck transactions are detected</t>
  </si>
  <si>
    <t xml:space="preserve">CUST-016</t>
  </si>
  <si>
    <t xml:space="preserve">Key rotation / refresh</t>
  </si>
  <si>
    <t xml:space="preserve">Share refresh invalidates old shares; old shares cannot be combined with new</t>
  </si>
  <si>
    <t xml:space="preserve">CUST-017</t>
  </si>
  <si>
    <t xml:space="preserve">Backup / restore</t>
  </si>
  <si>
    <t xml:space="preserve">Restoring a snapshot cannot roll back MPC state or revive revoked shares</t>
  </si>
  <si>
    <t xml:space="preserve">CUST-018</t>
  </si>
  <si>
    <t xml:space="preserve">Recovery</t>
  </si>
  <si>
    <t xml:space="preserve">Recovery quorum is at least as strong as the signing quorum</t>
  </si>
  <si>
    <t xml:space="preserve">Privileged paths</t>
  </si>
  <si>
    <t xml:space="preserve">CUST-019</t>
  </si>
  <si>
    <t xml:space="preserve">Policy change</t>
  </si>
  <si>
    <t xml:space="preserve">Policy and whitelist changes require independent authorisation and are bound to subsequent signing</t>
  </si>
  <si>
    <t xml:space="preserve">CUST-020</t>
  </si>
  <si>
    <t xml:space="preserve">Emergency / break-glass</t>
  </si>
  <si>
    <t xml:space="preserve">Break-glass access is quorum-controlled, logged and time-limited</t>
  </si>
  <si>
    <t xml:space="preserve">CUST-021</t>
  </si>
  <si>
    <t xml:space="preserve">Administration</t>
  </si>
  <si>
    <t xml:space="preserve">No single administrator can move assets or alter signing policy</t>
  </si>
  <si>
    <t xml:space="preserve">CUST-022</t>
  </si>
  <si>
    <t xml:space="preserve">Build and deploy</t>
  </si>
  <si>
    <t xml:space="preserve">Signer and policy-engine binaries are built and deployed from verified sources</t>
  </si>
  <si>
    <t xml:space="preserve">CUST-023</t>
  </si>
  <si>
    <t xml:space="preserve">Token operations</t>
  </si>
  <si>
    <t xml:space="preserve">Token approvals and permits cannot grant unintended spending authority</t>
  </si>
  <si>
    <t xml:space="preserve">CUST-024</t>
  </si>
  <si>
    <t xml:space="preserve">Key-share transport / backup</t>
  </si>
  <si>
    <t xml:space="preserve">Key shares in transit or backup stay confidential for their lifetime against harvest-now-decrypt-later</t>
  </si>
  <si>
    <t xml:space="preserve">Quantum</t>
  </si>
  <si>
    <t xml:space="preserve">CUST-025</t>
  </si>
  <si>
    <t xml:space="preserve">Address management</t>
  </si>
  <si>
    <t xml:space="preserve">Public keys are not exposed on-chain beyond necessity (no address reuse); exposure is inventoried</t>
  </si>
  <si>
    <t xml:space="preserve">CUST-026</t>
  </si>
  <si>
    <t xml:space="preserve">Cryptographic inventory</t>
  </si>
  <si>
    <t xml:space="preserve">Every algorithm, key size and lifetime is inventoried with a PQC migration path</t>
  </si>
  <si>
    <t xml:space="preserve">Category</t>
  </si>
  <si>
    <t xml:space="preserve">Questions the review must answer</t>
  </si>
  <si>
    <t xml:space="preserve">Can approver's view diverge from what is signed? Trusted calldata decoding? Faithful rendering of delegatecall, proxy upgrades, EIP-712?</t>
  </si>
  <si>
    <t xml:space="preserve">Approval bound to exact digest, policy version and freshness? Replay, reuse or reordering possible?</t>
  </si>
  <si>
    <t xml:space="preserve">Chain-ID / cross-chain replay; nonce management; fee and RBF manipulation; UTXO change validation; token approvals and permits</t>
  </si>
  <si>
    <t xml:space="preserve">Deposit-address generation and display; whitelist changes; address poisoning</t>
  </si>
  <si>
    <t xml:space="preserve">DKG and ceremony; share refresh; backup, restore and snapshot rollback; destruction</t>
  </si>
  <si>
    <t xml:space="preserve">Nonce / presignature reuse and bias; required ZK and range proofs present; abort handling</t>
  </si>
  <si>
    <t xml:space="preserve">HSM or enclave attestation; side channels; dependency and supply-chain integrity</t>
  </si>
  <si>
    <t xml:space="preserve">Policy changes, admin collusion, break-glass, recovery quorums</t>
  </si>
  <si>
    <t xml:space="preserve">Internal ledger vs on-chain state; reorgs; stuck transactions; trust in RPC/indexer data</t>
  </si>
  <si>
    <t xml:space="preserve">Harvest-now-decrypt-later on key-share transport and backups; on-chain public key exposure; chain-level signature scheme; crypto-agility; PQC standards and HSM support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</si>
</sst>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4" t="s">
        <v>26</v>
      </c>
    </row>
    <row r="3" customFormat="false" ht="15" hidden="false" customHeight="false" outlineLevel="0" collapsed="false">
      <c r="A3" s="5" t="s">
        <v>27</v>
      </c>
      <c r="B3" s="6"/>
    </row>
    <row r="4" customFormat="false" ht="15" hidden="false" customHeight="false" outlineLevel="0" collapsed="false">
      <c r="A4" s="7" t="s">
        <v>28</v>
      </c>
      <c r="B4" s="8"/>
    </row>
    <row r="5" customFormat="false" ht="15" hidden="false" customHeight="false" outlineLevel="0" collapsed="false">
      <c r="A5" s="7" t="s">
        <v>29</v>
      </c>
      <c r="B5" s="8"/>
    </row>
    <row r="6" customFormat="false" ht="15" hidden="false" customHeight="false" outlineLevel="0" collapsed="false">
      <c r="A6" s="7" t="s">
        <v>30</v>
      </c>
      <c r="B6" s="8"/>
    </row>
    <row r="7" customFormat="false" ht="15" hidden="false" customHeight="false" outlineLevel="0" collapsed="false">
      <c r="A7" s="7" t="s">
        <v>31</v>
      </c>
      <c r="B7" s="8"/>
    </row>
    <row r="8" customFormat="false" ht="15" hidden="false" customHeight="false" outlineLevel="0" collapsed="false">
      <c r="A8" s="7" t="s">
        <v>32</v>
      </c>
      <c r="B8" s="8"/>
    </row>
    <row r="9" customFormat="false" ht="15" hidden="false" customHeight="false" outlineLevel="0" collapsed="false">
      <c r="A9" s="5" t="s">
        <v>33</v>
      </c>
      <c r="B9" s="6"/>
    </row>
    <row r="10" customFormat="false" ht="15" hidden="false" customHeight="false" outlineLevel="0" collapsed="false">
      <c r="A10" s="7" t="s">
        <v>34</v>
      </c>
      <c r="B10" s="8"/>
    </row>
    <row r="11" customFormat="false" ht="15" hidden="false" customHeight="false" outlineLevel="0" collapsed="false">
      <c r="A11" s="7" t="s">
        <v>35</v>
      </c>
      <c r="B11" s="8"/>
    </row>
    <row r="12" customFormat="false" ht="15" hidden="false" customHeight="false" outlineLevel="0" collapsed="false">
      <c r="A12" s="7" t="s">
        <v>36</v>
      </c>
      <c r="B12" s="8"/>
    </row>
    <row r="13" customFormat="false" ht="15" hidden="false" customHeight="false" outlineLevel="0" collapsed="false">
      <c r="A13" s="7" t="s">
        <v>37</v>
      </c>
      <c r="B13" s="8"/>
    </row>
    <row r="14" customFormat="false" ht="15" hidden="false" customHeight="false" outlineLevel="0" collapsed="false">
      <c r="A14" s="5" t="s">
        <v>38</v>
      </c>
      <c r="B14" s="6"/>
    </row>
    <row r="15" customFormat="false" ht="15" hidden="false" customHeight="false" outlineLevel="0" collapsed="false">
      <c r="A15" s="7" t="s">
        <v>39</v>
      </c>
      <c r="B15" s="8"/>
    </row>
    <row r="16" customFormat="false" ht="15" hidden="false" customHeight="false" outlineLevel="0" collapsed="false">
      <c r="A16" s="7" t="s">
        <v>40</v>
      </c>
      <c r="B16" s="8"/>
    </row>
    <row r="17" customFormat="false" ht="15" hidden="false" customHeight="false" outlineLevel="0" collapsed="false">
      <c r="A17" s="7" t="s">
        <v>41</v>
      </c>
      <c r="B17" s="8"/>
    </row>
    <row r="18" customFormat="false" ht="15" hidden="false" customHeight="false" outlineLevel="0" collapsed="false">
      <c r="A18" s="7" t="s">
        <v>42</v>
      </c>
      <c r="B18" s="8"/>
    </row>
    <row r="19" customFormat="false" ht="15" hidden="false" customHeight="false" outlineLevel="0" collapsed="false">
      <c r="A19" s="7" t="s">
        <v>43</v>
      </c>
      <c r="B19" s="8"/>
    </row>
    <row r="20" customFormat="false" ht="15" hidden="false" customHeight="false" outlineLevel="0" collapsed="false">
      <c r="A20" s="7" t="s">
        <v>44</v>
      </c>
      <c r="B2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4" t="s">
        <v>45</v>
      </c>
    </row>
    <row r="3" customFormat="false" ht="15" hidden="false" customHeight="false" outlineLevel="0" collapsed="false">
      <c r="A3" s="9" t="s">
        <v>18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</row>
    <row r="4" customFormat="false" ht="15" hidden="false" customHeight="false" outlineLevel="0" collapsed="false">
      <c r="A4" s="7" t="s">
        <v>51</v>
      </c>
      <c r="B4" s="7" t="n">
        <f aca="false">COUNTIFS(Tracker!$K$2:$K$87,$A4,Tracker!$J$2:$J$87,"L1")</f>
        <v>0</v>
      </c>
      <c r="C4" s="7" t="n">
        <f aca="false">COUNTIFS(Tracker!$K$2:$K$87,$A4,Tracker!$J$2:$J$87,"L2")</f>
        <v>0</v>
      </c>
      <c r="D4" s="7" t="n">
        <f aca="false">COUNTIFS(Tracker!$K$2:$K$87,$A4,Tracker!$J$2:$J$87,"L3")</f>
        <v>0</v>
      </c>
      <c r="E4" s="7" t="n">
        <f aca="false">COUNTIFS(Tracker!$K$2:$K$87,$A4,Tracker!$J$2:$J$87,"")</f>
        <v>0</v>
      </c>
      <c r="F4" s="7" t="n">
        <f aca="false">SUM(B4:E4)</f>
        <v>0</v>
      </c>
    </row>
    <row r="5" customFormat="false" ht="15" hidden="false" customHeight="false" outlineLevel="0" collapsed="false">
      <c r="A5" s="7" t="s">
        <v>52</v>
      </c>
      <c r="B5" s="7" t="n">
        <f aca="false">COUNTIFS(Tracker!$K$2:$K$87,$A5,Tracker!$J$2:$J$87,"L1")</f>
        <v>0</v>
      </c>
      <c r="C5" s="7" t="n">
        <f aca="false">COUNTIFS(Tracker!$K$2:$K$87,$A5,Tracker!$J$2:$J$87,"L2")</f>
        <v>0</v>
      </c>
      <c r="D5" s="7" t="n">
        <f aca="false">COUNTIFS(Tracker!$K$2:$K$87,$A5,Tracker!$J$2:$J$87,"L3")</f>
        <v>0</v>
      </c>
      <c r="E5" s="7" t="n">
        <f aca="false">COUNTIFS(Tracker!$K$2:$K$87,$A5,Tracker!$J$2:$J$87,"")</f>
        <v>0</v>
      </c>
      <c r="F5" s="7" t="n">
        <f aca="false">SUM(B5:E5)</f>
        <v>0</v>
      </c>
    </row>
    <row r="6" customFormat="false" ht="15" hidden="false" customHeight="false" outlineLevel="0" collapsed="false">
      <c r="A6" s="7" t="s">
        <v>53</v>
      </c>
      <c r="B6" s="7" t="n">
        <f aca="false">COUNTIFS(Tracker!$K$2:$K$87,$A6,Tracker!$J$2:$J$87,"L1")</f>
        <v>1</v>
      </c>
      <c r="C6" s="7" t="n">
        <f aca="false">COUNTIFS(Tracker!$K$2:$K$87,$A6,Tracker!$J$2:$J$87,"L2")</f>
        <v>0</v>
      </c>
      <c r="D6" s="7" t="n">
        <f aca="false">COUNTIFS(Tracker!$K$2:$K$87,$A6,Tracker!$J$2:$J$87,"L3")</f>
        <v>0</v>
      </c>
      <c r="E6" s="7" t="n">
        <f aca="false">COUNTIFS(Tracker!$K$2:$K$87,$A6,Tracker!$J$2:$J$87,"")</f>
        <v>0</v>
      </c>
      <c r="F6" s="7" t="n">
        <f aca="false">SUM(B6:E6)</f>
        <v>1</v>
      </c>
    </row>
    <row r="7" customFormat="false" ht="15" hidden="false" customHeight="false" outlineLevel="0" collapsed="false">
      <c r="A7" s="7" t="s">
        <v>54</v>
      </c>
      <c r="B7" s="7" t="n">
        <f aca="false">COUNTIFS(Tracker!$K$2:$K$87,$A7,Tracker!$J$2:$J$87,"L1")</f>
        <v>0</v>
      </c>
      <c r="C7" s="7" t="n">
        <f aca="false">COUNTIFS(Tracker!$K$2:$K$87,$A7,Tracker!$J$2:$J$87,"L2")</f>
        <v>0</v>
      </c>
      <c r="D7" s="7" t="n">
        <f aca="false">COUNTIFS(Tracker!$K$2:$K$87,$A7,Tracker!$J$2:$J$87,"L3")</f>
        <v>0</v>
      </c>
      <c r="E7" s="7" t="n">
        <f aca="false">COUNTIFS(Tracker!$K$2:$K$87,$A7,Tracker!$J$2:$J$87,"")</f>
        <v>0</v>
      </c>
      <c r="F7" s="7" t="n">
        <f aca="false">SUM(B7:E7)</f>
        <v>0</v>
      </c>
    </row>
    <row r="8" customFormat="false" ht="15" hidden="false" customHeight="false" outlineLevel="0" collapsed="false">
      <c r="A8" s="7" t="s">
        <v>55</v>
      </c>
      <c r="B8" s="7" t="n">
        <f aca="false">COUNTIFS(Tracker!$K$2:$K$87,$A8,Tracker!$J$2:$J$87,"L1")</f>
        <v>0</v>
      </c>
      <c r="C8" s="7" t="n">
        <f aca="false">COUNTIFS(Tracker!$K$2:$K$87,$A8,Tracker!$J$2:$J$87,"L2")</f>
        <v>0</v>
      </c>
      <c r="D8" s="7" t="n">
        <f aca="false">COUNTIFS(Tracker!$K$2:$K$87,$A8,Tracker!$J$2:$J$87,"L3")</f>
        <v>0</v>
      </c>
      <c r="E8" s="7" t="n">
        <f aca="false">COUNTIFS(Tracker!$K$2:$K$87,$A8,Tracker!$J$2:$J$87,"")</f>
        <v>0</v>
      </c>
      <c r="F8" s="7" t="n">
        <f aca="false">SUM(B8:E8)</f>
        <v>0</v>
      </c>
    </row>
    <row r="9" customFormat="false" ht="15" hidden="false" customHeight="false" outlineLevel="0" collapsed="false">
      <c r="A9" s="10" t="s">
        <v>56</v>
      </c>
      <c r="B9" s="7" t="n">
        <f aca="false">SUM(B4:B8)</f>
        <v>1</v>
      </c>
      <c r="C9" s="7" t="n">
        <f aca="false">SUM(C4:C8)</f>
        <v>0</v>
      </c>
      <c r="D9" s="7" t="n">
        <f aca="false">SUM(D4:D8)</f>
        <v>0</v>
      </c>
      <c r="E9" s="7" t="n">
        <f aca="false">SUM(E4:E8)</f>
        <v>0</v>
      </c>
      <c r="F9" s="7" t="n">
        <f aca="false">SUM(F4:F8)</f>
        <v>1</v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57</v>
      </c>
      <c r="B11" s="11"/>
      <c r="C11" s="11"/>
      <c r="D11" s="11"/>
      <c r="E11" s="11"/>
      <c r="F11" s="11" t="n">
        <f aca="false">COUNTIFS(Tracker!$B$2:$B$87,"&lt;&gt;",Tracker!$K$2:$K$87,"")</f>
        <v>25</v>
      </c>
    </row>
    <row r="12" customFormat="false" ht="15" hidden="false" customHeight="false" outlineLevel="0" collapsed="false">
      <c r="A12" s="12" t="s">
        <v>58</v>
      </c>
      <c r="B12" s="11"/>
      <c r="C12" s="11"/>
      <c r="D12" s="11"/>
      <c r="E12" s="11"/>
      <c r="F12" s="11" t="str">
        <f aca="false">IF(F11=0,"Yes","No")</f>
        <v>No</v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2" t="s">
        <v>59</v>
      </c>
      <c r="B14" s="11"/>
      <c r="C14" s="11"/>
      <c r="D14" s="11"/>
      <c r="E14" s="11"/>
      <c r="F14" s="11" t="n">
        <f aca="false">COUNTIFS(Tracker!$K$2:$K$87,"Violated",Tracker!$L$2:$L$87,"Critical")+COUNTIFS(Tracker!$K$2:$K$87,"Violated",Tracker!$L$2:$L$87,"High")</f>
        <v>0</v>
      </c>
    </row>
    <row r="15" customFormat="false" ht="15" hidden="false" customHeight="false" outlineLevel="0" collapsed="false">
      <c r="A15" s="12" t="s">
        <v>60</v>
      </c>
      <c r="B15" s="11"/>
      <c r="C15" s="11"/>
      <c r="D15" s="11"/>
      <c r="E15" s="11"/>
      <c r="F15" s="11" t="n">
        <f aca="false">COUNTIFS(Tracker!$K$2:$K$87,"Supported",Tracker!$L$2:$L$87,"Critical",Tracker!$I$2:$I$87,"Argued")+COUNTIFS(Tracker!$K$2:$K$87,"Supported",Tracker!$L$2:$L$87,"Critical",Tracker!$I$2:$I$87,"Asserted")+COUNTIFS(Tracker!$K$2:$K$87,"Supported",Tracker!$L$2:$L$87,"High",Tracker!$I$2:$I$87,"Argued")+COUNTIFS(Tracker!$K$2:$K$87,"Supported",Tracker!$L$2:$L$87,"High",Tracker!$I$2:$I$87,"Assert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23.85" hidden="false" customHeight="false" outlineLevel="0" collapsed="false">
      <c r="A1" s="13" t="s">
        <v>61</v>
      </c>
      <c r="B1" s="13" t="s">
        <v>62</v>
      </c>
      <c r="C1" s="13" t="s">
        <v>63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12</v>
      </c>
      <c r="J1" s="13" t="s">
        <v>69</v>
      </c>
      <c r="K1" s="13" t="s">
        <v>18</v>
      </c>
      <c r="L1" s="13" t="s">
        <v>70</v>
      </c>
      <c r="M1" s="13" t="s">
        <v>71</v>
      </c>
      <c r="N1" s="13" t="s">
        <v>72</v>
      </c>
    </row>
    <row r="2" customFormat="false" ht="35.05" hidden="false" customHeight="false" outlineLevel="0" collapsed="false">
      <c r="A2" s="14" t="s">
        <v>73</v>
      </c>
      <c r="B2" s="14" t="s">
        <v>74</v>
      </c>
      <c r="C2" s="14" t="s">
        <v>75</v>
      </c>
      <c r="D2" s="14" t="s">
        <v>76</v>
      </c>
      <c r="E2" s="14" t="s">
        <v>77</v>
      </c>
      <c r="F2" s="14" t="s">
        <v>78</v>
      </c>
      <c r="G2" s="14" t="s">
        <v>79</v>
      </c>
      <c r="H2" s="14" t="s">
        <v>80</v>
      </c>
      <c r="I2" s="14" t="s">
        <v>81</v>
      </c>
      <c r="J2" s="14" t="s">
        <v>46</v>
      </c>
      <c r="K2" s="14" t="s">
        <v>53</v>
      </c>
      <c r="L2" s="14" t="s">
        <v>82</v>
      </c>
      <c r="M2" s="14" t="s">
        <v>83</v>
      </c>
      <c r="N2" s="14" t="s">
        <v>84</v>
      </c>
    </row>
    <row r="3" customFormat="false" ht="35.05" hidden="false" customHeight="false" outlineLevel="0" collapsed="false">
      <c r="A3" s="15" t="s">
        <v>85</v>
      </c>
      <c r="B3" s="15" t="s">
        <v>86</v>
      </c>
      <c r="C3" s="15" t="s">
        <v>87</v>
      </c>
      <c r="D3" s="15" t="s">
        <v>88</v>
      </c>
      <c r="E3" s="16"/>
      <c r="F3" s="16"/>
      <c r="G3" s="16"/>
      <c r="H3" s="16"/>
      <c r="I3" s="16"/>
      <c r="J3" s="16"/>
      <c r="K3" s="16"/>
      <c r="L3" s="16"/>
      <c r="M3" s="16"/>
      <c r="N3" s="16"/>
    </row>
    <row r="4" customFormat="false" ht="35.05" hidden="false" customHeight="false" outlineLevel="0" collapsed="false">
      <c r="A4" s="15" t="s">
        <v>89</v>
      </c>
      <c r="B4" s="15" t="s">
        <v>86</v>
      </c>
      <c r="C4" s="15" t="s">
        <v>90</v>
      </c>
      <c r="D4" s="15" t="s">
        <v>91</v>
      </c>
      <c r="E4" s="16"/>
      <c r="F4" s="16"/>
      <c r="G4" s="16"/>
      <c r="H4" s="16"/>
      <c r="I4" s="16"/>
      <c r="J4" s="16"/>
      <c r="K4" s="16"/>
      <c r="L4" s="16"/>
      <c r="M4" s="16"/>
      <c r="N4" s="16"/>
    </row>
    <row r="5" customFormat="false" ht="23.85" hidden="false" customHeight="false" outlineLevel="0" collapsed="false">
      <c r="A5" s="15" t="s">
        <v>92</v>
      </c>
      <c r="B5" s="15" t="s">
        <v>93</v>
      </c>
      <c r="C5" s="15" t="s">
        <v>94</v>
      </c>
      <c r="D5" s="15" t="s">
        <v>95</v>
      </c>
      <c r="E5" s="16"/>
      <c r="F5" s="16"/>
      <c r="G5" s="16"/>
      <c r="H5" s="16"/>
      <c r="I5" s="16"/>
      <c r="J5" s="16"/>
      <c r="K5" s="16"/>
      <c r="L5" s="16"/>
      <c r="M5" s="16"/>
      <c r="N5" s="16"/>
    </row>
    <row r="6" customFormat="false" ht="23.85" hidden="false" customHeight="false" outlineLevel="0" collapsed="false">
      <c r="A6" s="15" t="s">
        <v>96</v>
      </c>
      <c r="B6" s="15" t="s">
        <v>93</v>
      </c>
      <c r="C6" s="15" t="s">
        <v>97</v>
      </c>
      <c r="D6" s="15" t="s">
        <v>98</v>
      </c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35.05" hidden="false" customHeight="false" outlineLevel="0" collapsed="false">
      <c r="A7" s="15" t="s">
        <v>99</v>
      </c>
      <c r="B7" s="15" t="s">
        <v>74</v>
      </c>
      <c r="C7" s="15" t="s">
        <v>100</v>
      </c>
      <c r="D7" s="15" t="s">
        <v>101</v>
      </c>
      <c r="E7" s="16"/>
      <c r="F7" s="16"/>
      <c r="G7" s="16"/>
      <c r="H7" s="16"/>
      <c r="I7" s="16"/>
      <c r="J7" s="16"/>
      <c r="K7" s="16"/>
      <c r="L7" s="16"/>
      <c r="M7" s="16"/>
      <c r="N7" s="16"/>
    </row>
    <row r="8" customFormat="false" ht="23.85" hidden="false" customHeight="false" outlineLevel="0" collapsed="false">
      <c r="A8" s="15" t="s">
        <v>102</v>
      </c>
      <c r="B8" s="15" t="s">
        <v>74</v>
      </c>
      <c r="C8" s="15" t="s">
        <v>103</v>
      </c>
      <c r="D8" s="15" t="s">
        <v>95</v>
      </c>
      <c r="E8" s="16"/>
      <c r="F8" s="16"/>
      <c r="G8" s="16"/>
      <c r="H8" s="16"/>
      <c r="I8" s="16"/>
      <c r="J8" s="16"/>
      <c r="K8" s="16"/>
      <c r="L8" s="16"/>
      <c r="M8" s="16"/>
      <c r="N8" s="16"/>
    </row>
    <row r="9" customFormat="false" ht="35.05" hidden="false" customHeight="false" outlineLevel="0" collapsed="false">
      <c r="A9" s="15" t="s">
        <v>104</v>
      </c>
      <c r="B9" s="15" t="s">
        <v>105</v>
      </c>
      <c r="C9" s="15" t="s">
        <v>106</v>
      </c>
      <c r="D9" s="15" t="s">
        <v>76</v>
      </c>
      <c r="E9" s="16"/>
      <c r="F9" s="16"/>
      <c r="G9" s="16"/>
      <c r="H9" s="16"/>
      <c r="I9" s="16"/>
      <c r="J9" s="16"/>
      <c r="K9" s="16"/>
      <c r="L9" s="16"/>
      <c r="M9" s="16"/>
      <c r="N9" s="16"/>
    </row>
    <row r="10" customFormat="false" ht="23.85" hidden="false" customHeight="false" outlineLevel="0" collapsed="false">
      <c r="A10" s="15" t="s">
        <v>107</v>
      </c>
      <c r="B10" s="15" t="s">
        <v>108</v>
      </c>
      <c r="C10" s="15" t="s">
        <v>109</v>
      </c>
      <c r="D10" s="15" t="s">
        <v>110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customFormat="false" ht="23.85" hidden="false" customHeight="false" outlineLevel="0" collapsed="false">
      <c r="A11" s="15" t="s">
        <v>111</v>
      </c>
      <c r="B11" s="15" t="s">
        <v>108</v>
      </c>
      <c r="C11" s="15" t="s">
        <v>112</v>
      </c>
      <c r="D11" s="15" t="s">
        <v>110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customFormat="false" ht="23.85" hidden="false" customHeight="false" outlineLevel="0" collapsed="false">
      <c r="A12" s="15" t="s">
        <v>113</v>
      </c>
      <c r="B12" s="15" t="s">
        <v>114</v>
      </c>
      <c r="C12" s="15" t="s">
        <v>115</v>
      </c>
      <c r="D12" s="15" t="s">
        <v>91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customFormat="false" ht="35.05" hidden="false" customHeight="false" outlineLevel="0" collapsed="false">
      <c r="A13" s="15" t="s">
        <v>116</v>
      </c>
      <c r="B13" s="15" t="s">
        <v>114</v>
      </c>
      <c r="C13" s="15" t="s">
        <v>117</v>
      </c>
      <c r="D13" s="15" t="s">
        <v>91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customFormat="false" ht="35.05" hidden="false" customHeight="false" outlineLevel="0" collapsed="false">
      <c r="A14" s="15" t="s">
        <v>118</v>
      </c>
      <c r="B14" s="15" t="s">
        <v>114</v>
      </c>
      <c r="C14" s="15" t="s">
        <v>119</v>
      </c>
      <c r="D14" s="15" t="s">
        <v>120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customFormat="false" ht="23.85" hidden="false" customHeight="false" outlineLevel="0" collapsed="false">
      <c r="A15" s="15" t="s">
        <v>121</v>
      </c>
      <c r="B15" s="15" t="s">
        <v>122</v>
      </c>
      <c r="C15" s="15" t="s">
        <v>123</v>
      </c>
      <c r="D15" s="15" t="s">
        <v>110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customFormat="false" ht="23.85" hidden="false" customHeight="false" outlineLevel="0" collapsed="false">
      <c r="A16" s="15" t="s">
        <v>124</v>
      </c>
      <c r="B16" s="15" t="s">
        <v>125</v>
      </c>
      <c r="C16" s="15" t="s">
        <v>126</v>
      </c>
      <c r="D16" s="15" t="s">
        <v>98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customFormat="false" ht="23.85" hidden="false" customHeight="false" outlineLevel="0" collapsed="false">
      <c r="A17" s="15" t="s">
        <v>127</v>
      </c>
      <c r="B17" s="15" t="s">
        <v>128</v>
      </c>
      <c r="C17" s="15" t="s">
        <v>129</v>
      </c>
      <c r="D17" s="15" t="s">
        <v>88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customFormat="false" ht="23.85" hidden="false" customHeight="false" outlineLevel="0" collapsed="false">
      <c r="A18" s="15" t="s">
        <v>130</v>
      </c>
      <c r="B18" s="15" t="s">
        <v>131</v>
      </c>
      <c r="C18" s="15" t="s">
        <v>132</v>
      </c>
      <c r="D18" s="15" t="s">
        <v>88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customFormat="false" ht="23.85" hidden="false" customHeight="false" outlineLevel="0" collapsed="false">
      <c r="A19" s="15" t="s">
        <v>133</v>
      </c>
      <c r="B19" s="15" t="s">
        <v>134</v>
      </c>
      <c r="C19" s="15" t="s">
        <v>135</v>
      </c>
      <c r="D19" s="15" t="s">
        <v>136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customFormat="false" ht="35.05" hidden="false" customHeight="false" outlineLevel="0" collapsed="false">
      <c r="A20" s="15" t="s">
        <v>137</v>
      </c>
      <c r="B20" s="15" t="s">
        <v>138</v>
      </c>
      <c r="C20" s="15" t="s">
        <v>139</v>
      </c>
      <c r="D20" s="15" t="s">
        <v>136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customFormat="false" ht="23.85" hidden="false" customHeight="false" outlineLevel="0" collapsed="false">
      <c r="A21" s="15" t="s">
        <v>140</v>
      </c>
      <c r="B21" s="15" t="s">
        <v>141</v>
      </c>
      <c r="C21" s="15" t="s">
        <v>142</v>
      </c>
      <c r="D21" s="15" t="s">
        <v>136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customFormat="false" ht="23.85" hidden="false" customHeight="false" outlineLevel="0" collapsed="false">
      <c r="A22" s="15" t="s">
        <v>143</v>
      </c>
      <c r="B22" s="15" t="s">
        <v>144</v>
      </c>
      <c r="C22" s="15" t="s">
        <v>145</v>
      </c>
      <c r="D22" s="15" t="s">
        <v>136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customFormat="false" ht="23.85" hidden="false" customHeight="false" outlineLevel="0" collapsed="false">
      <c r="A23" s="15" t="s">
        <v>146</v>
      </c>
      <c r="B23" s="15" t="s">
        <v>147</v>
      </c>
      <c r="C23" s="15" t="s">
        <v>148</v>
      </c>
      <c r="D23" s="15" t="s">
        <v>120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customFormat="false" ht="23.85" hidden="false" customHeight="false" outlineLevel="0" collapsed="false">
      <c r="A24" s="15" t="s">
        <v>149</v>
      </c>
      <c r="B24" s="15" t="s">
        <v>150</v>
      </c>
      <c r="C24" s="15" t="s">
        <v>151</v>
      </c>
      <c r="D24" s="15" t="s">
        <v>110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customFormat="false" ht="35.05" hidden="false" customHeight="false" outlineLevel="0" collapsed="false">
      <c r="A25" s="15" t="s">
        <v>152</v>
      </c>
      <c r="B25" s="15" t="s">
        <v>153</v>
      </c>
      <c r="C25" s="15" t="s">
        <v>154</v>
      </c>
      <c r="D25" s="15" t="s">
        <v>155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customFormat="false" ht="35.05" hidden="false" customHeight="false" outlineLevel="0" collapsed="false">
      <c r="A26" s="15" t="s">
        <v>156</v>
      </c>
      <c r="B26" s="15" t="s">
        <v>157</v>
      </c>
      <c r="C26" s="15" t="s">
        <v>158</v>
      </c>
      <c r="D26" s="15" t="s">
        <v>155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customFormat="false" ht="23.85" hidden="false" customHeight="false" outlineLevel="0" collapsed="false">
      <c r="A27" s="15" t="s">
        <v>159</v>
      </c>
      <c r="B27" s="15" t="s">
        <v>160</v>
      </c>
      <c r="C27" s="15" t="s">
        <v>161</v>
      </c>
      <c r="D27" s="15" t="s">
        <v>155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customFormat="false" ht="15" hidden="false" customHeight="false" outlineLevel="0" collapsed="false">
      <c r="A28" s="15"/>
      <c r="B28" s="15"/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customFormat="false" ht="15" hidden="false" customHeight="false" outlineLevel="0" collapsed="false">
      <c r="A29" s="15"/>
      <c r="B29" s="15"/>
      <c r="C29" s="15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customFormat="false" ht="15" hidden="false" customHeight="false" outlineLevel="0" collapsed="false">
      <c r="A30" s="15"/>
      <c r="B30" s="15"/>
      <c r="C30" s="15"/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customFormat="false" ht="15" hidden="false" customHeight="false" outlineLevel="0" collapsed="false">
      <c r="A31" s="15"/>
      <c r="B31" s="15"/>
      <c r="C31" s="15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customFormat="false" ht="15" hidden="false" customHeight="false" outlineLevel="0" collapsed="false">
      <c r="A32" s="15"/>
      <c r="B32" s="15"/>
      <c r="C32" s="15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customFormat="false" ht="15" hidden="false" customHeight="false" outlineLevel="0" collapsed="false">
      <c r="A33" s="15"/>
      <c r="B33" s="15"/>
      <c r="C33" s="15"/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customFormat="false" ht="15" hidden="false" customHeight="false" outlineLevel="0" collapsed="false">
      <c r="A34" s="15"/>
      <c r="B34" s="15"/>
      <c r="C34" s="15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customFormat="false" ht="15" hidden="false" customHeight="false" outlineLevel="0" collapsed="false">
      <c r="A35" s="15"/>
      <c r="B35" s="15"/>
      <c r="C35" s="15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customFormat="false" ht="15" hidden="false" customHeight="false" outlineLevel="0" collapsed="false">
      <c r="A36" s="15"/>
      <c r="B36" s="15"/>
      <c r="C36" s="15"/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customFormat="false" ht="15" hidden="false" customHeight="false" outlineLevel="0" collapsed="false">
      <c r="A37" s="15"/>
      <c r="B37" s="15"/>
      <c r="C37" s="15"/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customFormat="false" ht="15" hidden="false" customHeight="false" outlineLevel="0" collapsed="false">
      <c r="A38" s="15"/>
      <c r="B38" s="15"/>
      <c r="C38" s="15"/>
      <c r="D38" s="15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customFormat="false" ht="15" hidden="false" customHeight="false" outlineLevel="0" collapsed="false">
      <c r="A39" s="15"/>
      <c r="B39" s="15"/>
      <c r="C39" s="15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customFormat="false" ht="15" hidden="false" customHeight="false" outlineLevel="0" collapsed="false">
      <c r="A40" s="15"/>
      <c r="B40" s="15"/>
      <c r="C40" s="15"/>
      <c r="D40" s="15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customFormat="false" ht="15" hidden="false" customHeight="false" outlineLevel="0" collapsed="false">
      <c r="A41" s="15"/>
      <c r="B41" s="15"/>
      <c r="C41" s="15"/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customFormat="false" ht="15" hidden="false" customHeight="false" outlineLevel="0" collapsed="false">
      <c r="A42" s="15"/>
      <c r="B42" s="15"/>
      <c r="C42" s="15"/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customFormat="false" ht="15" hidden="false" customHeight="false" outlineLevel="0" collapsed="false">
      <c r="A43" s="15"/>
      <c r="B43" s="15"/>
      <c r="C43" s="15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customFormat="false" ht="15" hidden="false" customHeight="false" outlineLevel="0" collapsed="false">
      <c r="A44" s="15"/>
      <c r="B44" s="15"/>
      <c r="C44" s="15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customFormat="false" ht="15" hidden="false" customHeight="false" outlineLevel="0" collapsed="false">
      <c r="A45" s="15"/>
      <c r="B45" s="15"/>
      <c r="C45" s="15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customFormat="false" ht="15" hidden="false" customHeight="false" outlineLevel="0" collapsed="false">
      <c r="A46" s="15"/>
      <c r="B46" s="15"/>
      <c r="C46" s="15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customFormat="false" ht="15" hidden="false" customHeight="false" outlineLevel="0" collapsed="false">
      <c r="A47" s="15"/>
      <c r="B47" s="15"/>
      <c r="C47" s="15"/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customFormat="false" ht="15" hidden="false" customHeight="false" outlineLevel="0" collapsed="false">
      <c r="A48" s="15"/>
      <c r="B48" s="15"/>
      <c r="C48" s="15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customFormat="false" ht="15" hidden="false" customHeight="false" outlineLevel="0" collapsed="false">
      <c r="A49" s="15"/>
      <c r="B49" s="15"/>
      <c r="C49" s="15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customFormat="false" ht="15" hidden="false" customHeight="false" outlineLevel="0" collapsed="false">
      <c r="A50" s="15"/>
      <c r="B50" s="15"/>
      <c r="C50" s="15"/>
      <c r="D50" s="15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customFormat="false" ht="15" hidden="false" customHeight="false" outlineLevel="0" collapsed="false">
      <c r="A51" s="15"/>
      <c r="B51" s="15"/>
      <c r="C51" s="15"/>
      <c r="D51" s="15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customFormat="false" ht="15" hidden="false" customHeight="false" outlineLevel="0" collapsed="false">
      <c r="A52" s="15"/>
      <c r="B52" s="15"/>
      <c r="C52" s="15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customFormat="false" ht="15" hidden="false" customHeight="false" outlineLevel="0" collapsed="false">
      <c r="A53" s="15"/>
      <c r="B53" s="15"/>
      <c r="C53" s="15"/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customFormat="false" ht="15" hidden="false" customHeight="false" outlineLevel="0" collapsed="false">
      <c r="A54" s="15"/>
      <c r="B54" s="15"/>
      <c r="C54" s="15"/>
      <c r="D54" s="15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customFormat="false" ht="15" hidden="false" customHeight="false" outlineLevel="0" collapsed="false">
      <c r="A55" s="15"/>
      <c r="B55" s="15"/>
      <c r="C55" s="15"/>
      <c r="D55" s="15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customFormat="false" ht="15" hidden="false" customHeight="false" outlineLevel="0" collapsed="false">
      <c r="A56" s="15"/>
      <c r="B56" s="15"/>
      <c r="C56" s="15"/>
      <c r="D56" s="15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customFormat="false" ht="15" hidden="false" customHeight="false" outlineLevel="0" collapsed="false">
      <c r="A57" s="15"/>
      <c r="B57" s="15"/>
      <c r="C57" s="15"/>
      <c r="D57" s="15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customFormat="false" ht="15" hidden="false" customHeight="false" outlineLevel="0" collapsed="false">
      <c r="A58" s="15"/>
      <c r="B58" s="15"/>
      <c r="C58" s="15"/>
      <c r="D58" s="15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customFormat="false" ht="15" hidden="false" customHeight="false" outlineLevel="0" collapsed="false">
      <c r="A59" s="15"/>
      <c r="B59" s="15"/>
      <c r="C59" s="15"/>
      <c r="D59" s="15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customFormat="false" ht="15" hidden="false" customHeight="false" outlineLevel="0" collapsed="false">
      <c r="A60" s="15"/>
      <c r="B60" s="15"/>
      <c r="C60" s="15"/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customFormat="false" ht="15" hidden="false" customHeight="false" outlineLevel="0" collapsed="false">
      <c r="A61" s="15"/>
      <c r="B61" s="15"/>
      <c r="C61" s="15"/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customFormat="false" ht="15" hidden="false" customHeight="false" outlineLevel="0" collapsed="false">
      <c r="A62" s="15"/>
      <c r="B62" s="15"/>
      <c r="C62" s="15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customFormat="false" ht="15" hidden="false" customHeight="false" outlineLevel="0" collapsed="false">
      <c r="A63" s="15"/>
      <c r="B63" s="15"/>
      <c r="C63" s="15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customFormat="false" ht="15" hidden="false" customHeight="false" outlineLevel="0" collapsed="false">
      <c r="A64" s="15"/>
      <c r="B64" s="15"/>
      <c r="C64" s="15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customFormat="false" ht="15" hidden="false" customHeight="false" outlineLevel="0" collapsed="false">
      <c r="A65" s="15"/>
      <c r="B65" s="15"/>
      <c r="C65" s="15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customFormat="false" ht="15" hidden="false" customHeight="false" outlineLevel="0" collapsed="false">
      <c r="A66" s="15"/>
      <c r="B66" s="15"/>
      <c r="C66" s="15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customFormat="false" ht="15" hidden="false" customHeight="false" outlineLevel="0" collapsed="false">
      <c r="A67" s="15"/>
      <c r="B67" s="15"/>
      <c r="C67" s="15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customFormat="false" ht="15" hidden="false" customHeight="false" outlineLevel="0" collapsed="false">
      <c r="A68" s="15"/>
      <c r="B68" s="15"/>
      <c r="C68" s="15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customFormat="false" ht="15" hidden="false" customHeight="false" outlineLevel="0" collapsed="false">
      <c r="A69" s="15"/>
      <c r="B69" s="15"/>
      <c r="C69" s="15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customFormat="false" ht="15" hidden="false" customHeight="false" outlineLevel="0" collapsed="false">
      <c r="A70" s="15"/>
      <c r="B70" s="15"/>
      <c r="C70" s="15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customFormat="false" ht="15" hidden="false" customHeight="false" outlineLevel="0" collapsed="false">
      <c r="A71" s="15"/>
      <c r="B71" s="15"/>
      <c r="C71" s="15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customFormat="false" ht="15" hidden="false" customHeight="false" outlineLevel="0" collapsed="false">
      <c r="A72" s="15"/>
      <c r="B72" s="15"/>
      <c r="C72" s="15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customFormat="false" ht="15" hidden="false" customHeight="false" outlineLevel="0" collapsed="false">
      <c r="A73" s="15"/>
      <c r="B73" s="15"/>
      <c r="C73" s="15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customFormat="false" ht="15" hidden="false" customHeight="false" outlineLevel="0" collapsed="false">
      <c r="A74" s="15"/>
      <c r="B74" s="15"/>
      <c r="C74" s="15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customFormat="false" ht="15" hidden="false" customHeight="false" outlineLevel="0" collapsed="false">
      <c r="A75" s="15"/>
      <c r="B75" s="15"/>
      <c r="C75" s="15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customFormat="false" ht="15" hidden="false" customHeight="false" outlineLevel="0" collapsed="false">
      <c r="A76" s="15"/>
      <c r="B76" s="15"/>
      <c r="C76" s="15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customFormat="false" ht="15" hidden="false" customHeight="false" outlineLevel="0" collapsed="false">
      <c r="A77" s="15"/>
      <c r="B77" s="15"/>
      <c r="C77" s="15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customFormat="false" ht="15" hidden="false" customHeight="false" outlineLevel="0" collapsed="false">
      <c r="A78" s="15"/>
      <c r="B78" s="15"/>
      <c r="C78" s="15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customFormat="false" ht="15" hidden="false" customHeight="false" outlineLevel="0" collapsed="false">
      <c r="A79" s="15"/>
      <c r="B79" s="15"/>
      <c r="C79" s="15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customFormat="false" ht="15" hidden="false" customHeight="false" outlineLevel="0" collapsed="false">
      <c r="A80" s="15"/>
      <c r="B80" s="15"/>
      <c r="C80" s="15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customFormat="false" ht="15" hidden="false" customHeight="false" outlineLevel="0" collapsed="false">
      <c r="A81" s="15"/>
      <c r="B81" s="15"/>
      <c r="C81" s="15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customFormat="false" ht="15" hidden="false" customHeight="false" outlineLevel="0" collapsed="false">
      <c r="A82" s="15"/>
      <c r="B82" s="15"/>
      <c r="C82" s="15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customFormat="false" ht="15" hidden="false" customHeight="false" outlineLevel="0" collapsed="false">
      <c r="A83" s="15"/>
      <c r="B83" s="15"/>
      <c r="C83" s="15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customFormat="false" ht="15" hidden="false" customHeight="false" outlineLevel="0" collapsed="false">
      <c r="A84" s="15"/>
      <c r="B84" s="15"/>
      <c r="C84" s="15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customFormat="false" ht="15" hidden="false" customHeight="false" outlineLevel="0" collapsed="false">
      <c r="A85" s="15"/>
      <c r="B85" s="15"/>
      <c r="C85" s="15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 customFormat="false" ht="15" hidden="false" customHeight="false" outlineLevel="0" collapsed="false">
      <c r="A86" s="15"/>
      <c r="B86" s="15"/>
      <c r="C86" s="15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 customFormat="false" ht="15" hidden="false" customHeight="false" outlineLevel="0" collapsed="false">
      <c r="A87" s="15"/>
      <c r="B87" s="15"/>
      <c r="C87" s="15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</row>
  </sheetData>
  <autoFilter ref="A1:N87"/>
  <conditionalFormatting sqref="K2:K87">
    <cfRule type="cellIs" priority="2" operator="equal" aboveAverage="0" equalAverage="0" bottom="0" percent="0" rank="0" text="" dxfId="6">
      <formula>"Violated"</formula>
    </cfRule>
    <cfRule type="cellIs" priority="3" operator="equal" aboveAverage="0" equalAverage="0" bottom="0" percent="0" rank="0" text="" dxfId="7">
      <formula>"Supported"</formula>
    </cfRule>
    <cfRule type="cellIs" priority="4" operator="equal" aboveAverage="0" equalAverage="0" bottom="0" percent="0" rank="0" text="" dxfId="8">
      <formula>"Unverified"</formula>
    </cfRule>
  </conditionalFormatting>
  <dataValidations count="5">
    <dataValidation allowBlank="true" errorStyle="stop" operator="between" showDropDown="false" showErrorMessage="false" showInputMessage="false" sqref="I2:I87" type="list">
      <formula1>"Proved,Argued,Tested,Asserted"</formula1>
      <formula2>0</formula2>
    </dataValidation>
    <dataValidation allowBlank="true" errorStyle="stop" operator="between" showDropDown="false" showErrorMessage="false" showInputMessage="false" sqref="J2:J87" type="list">
      <formula1>"L1,L2,L3"</formula1>
      <formula2>0</formula2>
    </dataValidation>
    <dataValidation allowBlank="true" errorStyle="stop" operator="between" showDropDown="false" showErrorMessage="false" showInputMessage="false" sqref="K2:K87" type="list">
      <formula1>"Supported,Violated,Unverified,Out of scope,Risk accepted"</formula1>
      <formula2>0</formula2>
    </dataValidation>
    <dataValidation allowBlank="true" errorStyle="stop" operator="between" showDropDown="false" showErrorMessage="false" showInputMessage="false" sqref="L2:L87" type="list">
      <formula1>"Critical,High,Medium,Low,Info"</formula1>
      <formula2>0</formula2>
    </dataValidation>
    <dataValidation allowBlank="true" errorStyle="stop" operator="between" showDropDown="false" showErrorMessage="false" showInputMessage="false" sqref="D2:D87" type="list">
      <formula1>'Threat Catalogue'!$A$2:$A$11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9" t="s">
        <v>162</v>
      </c>
      <c r="B1" s="9" t="s">
        <v>163</v>
      </c>
    </row>
    <row r="2" customFormat="false" ht="23.85" hidden="false" customHeight="false" outlineLevel="0" collapsed="false">
      <c r="A2" s="15" t="s">
        <v>101</v>
      </c>
      <c r="B2" s="15" t="s">
        <v>164</v>
      </c>
    </row>
    <row r="3" customFormat="false" ht="15" hidden="false" customHeight="false" outlineLevel="0" collapsed="false">
      <c r="A3" s="15" t="s">
        <v>76</v>
      </c>
      <c r="B3" s="15" t="s">
        <v>165</v>
      </c>
    </row>
    <row r="4" customFormat="false" ht="23.85" hidden="false" customHeight="false" outlineLevel="0" collapsed="false">
      <c r="A4" s="15" t="s">
        <v>110</v>
      </c>
      <c r="B4" s="15" t="s">
        <v>166</v>
      </c>
    </row>
    <row r="5" customFormat="false" ht="15" hidden="false" customHeight="false" outlineLevel="0" collapsed="false">
      <c r="A5" s="15" t="s">
        <v>95</v>
      </c>
      <c r="B5" s="15" t="s">
        <v>167</v>
      </c>
    </row>
    <row r="6" customFormat="false" ht="15" hidden="false" customHeight="false" outlineLevel="0" collapsed="false">
      <c r="A6" s="15" t="s">
        <v>88</v>
      </c>
      <c r="B6" s="15" t="s">
        <v>168</v>
      </c>
    </row>
    <row r="7" customFormat="false" ht="15" hidden="false" customHeight="false" outlineLevel="0" collapsed="false">
      <c r="A7" s="15" t="s">
        <v>91</v>
      </c>
      <c r="B7" s="15" t="s">
        <v>169</v>
      </c>
    </row>
    <row r="8" customFormat="false" ht="15" hidden="false" customHeight="false" outlineLevel="0" collapsed="false">
      <c r="A8" s="15" t="s">
        <v>120</v>
      </c>
      <c r="B8" s="15" t="s">
        <v>170</v>
      </c>
    </row>
    <row r="9" customFormat="false" ht="15" hidden="false" customHeight="false" outlineLevel="0" collapsed="false">
      <c r="A9" s="15" t="s">
        <v>136</v>
      </c>
      <c r="B9" s="15" t="s">
        <v>171</v>
      </c>
    </row>
    <row r="10" customFormat="false" ht="15" hidden="false" customHeight="false" outlineLevel="0" collapsed="false">
      <c r="A10" s="15" t="s">
        <v>98</v>
      </c>
      <c r="B10" s="15" t="s">
        <v>172</v>
      </c>
    </row>
    <row r="11" customFormat="false" ht="23.85" hidden="false" customHeight="false" outlineLevel="0" collapsed="false">
      <c r="A11" s="15" t="s">
        <v>155</v>
      </c>
      <c r="B11" s="15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2026-10-20T20:50:20Z</dcterms:created>
  <dc:creator>openpyxl</dc:creator>
  <dc:description/>
  <dc:language>en-US</dc:language>
  <cp:lastModifiedBy/>
  <dcterms:modified xsi:type="dcterms:W3CDTF">2026-10-20T20:50:20Z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